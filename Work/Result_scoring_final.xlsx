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Git_for_study\DE\Work\"/>
    </mc:Choice>
  </mc:AlternateContent>
  <xr:revisionPtr revIDLastSave="0" documentId="13_ncr:1_{D2B97848-1212-40A2-8282-AB9E7AC78B2D}" xr6:coauthVersionLast="36" xr6:coauthVersionMax="36" xr10:uidLastSave="{00000000-0000-0000-0000-000000000000}"/>
  <bookViews>
    <workbookView xWindow="0" yWindow="0" windowWidth="23040" windowHeight="6768" activeTab="1" xr2:uid="{00000000-000D-0000-FFFF-FFFF00000000}"/>
  </bookViews>
  <sheets>
    <sheet name="부정 Alert" sheetId="1" r:id="rId1"/>
    <sheet name="급상승 Alert" sheetId="2" r:id="rId2"/>
  </sheets>
  <calcPr calcId="191029"/>
</workbook>
</file>

<file path=xl/calcChain.xml><?xml version="1.0" encoding="utf-8"?>
<calcChain xmlns="http://schemas.openxmlformats.org/spreadsheetml/2006/main">
  <c r="H9" i="2" l="1"/>
  <c r="B9" i="2"/>
  <c r="I8" i="2"/>
  <c r="I9" i="2" s="1"/>
  <c r="H8" i="2"/>
  <c r="G8" i="2"/>
  <c r="F8" i="2"/>
  <c r="E8" i="2"/>
  <c r="D8" i="2"/>
  <c r="C8" i="2"/>
  <c r="B8" i="2"/>
  <c r="I7" i="2"/>
  <c r="H7" i="2"/>
  <c r="G7" i="2"/>
  <c r="G9" i="2" s="1"/>
  <c r="F7" i="2"/>
  <c r="F9" i="2" s="1"/>
  <c r="E7" i="2"/>
  <c r="E9" i="2" s="1"/>
  <c r="D7" i="2"/>
  <c r="D9" i="2" s="1"/>
  <c r="C7" i="2"/>
  <c r="C9" i="2" s="1"/>
  <c r="B7" i="2"/>
  <c r="I6" i="2"/>
  <c r="H6" i="2"/>
  <c r="G6" i="2"/>
  <c r="F6" i="2"/>
  <c r="E6" i="2"/>
  <c r="D6" i="2"/>
  <c r="C6" i="2"/>
  <c r="B6" i="2"/>
  <c r="C9" i="1"/>
  <c r="D9" i="1"/>
  <c r="E9" i="1"/>
  <c r="F9" i="1"/>
  <c r="G9" i="1"/>
  <c r="H9" i="1"/>
  <c r="I9" i="1"/>
  <c r="B9" i="1"/>
  <c r="C8" i="1"/>
  <c r="D8" i="1"/>
  <c r="E8" i="1"/>
  <c r="F8" i="1"/>
  <c r="G8" i="1"/>
  <c r="H8" i="1"/>
  <c r="I8" i="1"/>
  <c r="B8" i="1"/>
  <c r="C7" i="1"/>
  <c r="D7" i="1"/>
  <c r="E7" i="1"/>
  <c r="F7" i="1"/>
  <c r="G7" i="1"/>
  <c r="H7" i="1"/>
  <c r="I7" i="1"/>
  <c r="B7" i="1"/>
  <c r="I6" i="1"/>
  <c r="C6" i="1"/>
  <c r="D6" i="1"/>
  <c r="E6" i="1"/>
  <c r="F6" i="1"/>
  <c r="G6" i="1"/>
  <c r="H6" i="1"/>
  <c r="B6" i="1"/>
</calcChain>
</file>

<file path=xl/sharedStrings.xml><?xml version="1.0" encoding="utf-8"?>
<sst xmlns="http://schemas.openxmlformats.org/spreadsheetml/2006/main" count="32" uniqueCount="16">
  <si>
    <t>Original</t>
  </si>
  <si>
    <t>is_0.1score</t>
  </si>
  <si>
    <t>is_0.2score</t>
  </si>
  <si>
    <t>is_0.3score</t>
  </si>
  <si>
    <t>is_0.4score</t>
  </si>
  <si>
    <t>is_0.5score</t>
  </si>
  <si>
    <t>is_0.6score</t>
  </si>
  <si>
    <t>is_0.7score</t>
  </si>
  <si>
    <t>TN(정답)</t>
  </si>
  <si>
    <t>FP(오탐)</t>
  </si>
  <si>
    <t>FN(미탐)</t>
  </si>
  <si>
    <t>TP(정답)</t>
  </si>
  <si>
    <t>정확도</t>
    <phoneticPr fontId="2" type="noConversion"/>
  </si>
  <si>
    <t>정밀도</t>
    <phoneticPr fontId="2" type="noConversion"/>
  </si>
  <si>
    <t>재현율</t>
    <phoneticPr fontId="2" type="noConversion"/>
  </si>
  <si>
    <t>F1score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</si>
</sst>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  <font>
      <b/>
      <sz val="11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zoomScale="115" zoomScaleNormal="115" workbookViewId="0">
      <selection activeCell="D13" sqref="D13"/>
    </sheetView>
  </sheetViews>
  <sheetFormatPr defaultRowHeight="17.399999999999999" x14ac:dyDescent="0.4"/>
  <cols>
    <col min="2" max="9" width="12.59765625" bestFit="1" customWidth="1"/>
  </cols>
  <sheetData>
    <row r="1" spans="1:9" ht="18" x14ac:dyDescent="0.4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8" x14ac:dyDescent="0.45">
      <c r="A2" s="3" t="s">
        <v>8</v>
      </c>
      <c r="B2" s="5">
        <v>0</v>
      </c>
      <c r="C2" s="5">
        <v>0</v>
      </c>
      <c r="D2" s="5">
        <v>13</v>
      </c>
      <c r="E2" s="5">
        <v>33</v>
      </c>
      <c r="F2" s="5">
        <v>64</v>
      </c>
      <c r="G2" s="5">
        <v>198</v>
      </c>
      <c r="H2" s="5">
        <v>499</v>
      </c>
      <c r="I2" s="5">
        <v>523</v>
      </c>
    </row>
    <row r="3" spans="1:9" ht="18" x14ac:dyDescent="0.45">
      <c r="A3" s="3" t="s">
        <v>9</v>
      </c>
      <c r="B3" s="5">
        <v>545</v>
      </c>
      <c r="C3" s="5">
        <v>545</v>
      </c>
      <c r="D3" s="5">
        <v>532</v>
      </c>
      <c r="E3" s="5">
        <v>512</v>
      </c>
      <c r="F3" s="5">
        <v>481</v>
      </c>
      <c r="G3" s="5">
        <v>347</v>
      </c>
      <c r="H3" s="5">
        <v>46</v>
      </c>
      <c r="I3" s="5">
        <v>22</v>
      </c>
    </row>
    <row r="4" spans="1:9" ht="18" x14ac:dyDescent="0.45">
      <c r="A4" s="3" t="s">
        <v>10</v>
      </c>
      <c r="B4" s="5">
        <v>0</v>
      </c>
      <c r="C4" s="5">
        <v>0</v>
      </c>
      <c r="D4" s="5">
        <v>2</v>
      </c>
      <c r="E4" s="5">
        <v>4</v>
      </c>
      <c r="F4" s="5">
        <v>11</v>
      </c>
      <c r="G4" s="5">
        <v>66</v>
      </c>
      <c r="H4" s="5">
        <v>207</v>
      </c>
      <c r="I4" s="5">
        <v>213</v>
      </c>
    </row>
    <row r="5" spans="1:9" ht="18" x14ac:dyDescent="0.45">
      <c r="A5" s="3" t="s">
        <v>11</v>
      </c>
      <c r="B5" s="5">
        <v>235</v>
      </c>
      <c r="C5" s="5">
        <v>235</v>
      </c>
      <c r="D5" s="5">
        <v>233</v>
      </c>
      <c r="E5" s="5">
        <v>231</v>
      </c>
      <c r="F5" s="5">
        <v>224</v>
      </c>
      <c r="G5" s="5">
        <v>169</v>
      </c>
      <c r="H5" s="5">
        <v>28</v>
      </c>
      <c r="I5" s="5">
        <v>22</v>
      </c>
    </row>
    <row r="6" spans="1:9" ht="18" x14ac:dyDescent="0.45">
      <c r="A6" s="4" t="s">
        <v>12</v>
      </c>
      <c r="B6" s="6">
        <f>(B5+B2)/(SUM(B2:B5))</f>
        <v>0.30128205128205127</v>
      </c>
      <c r="C6" s="6">
        <f t="shared" ref="C6:H6" si="0">(C5+C2)/(SUM(C2:C5))</f>
        <v>0.30128205128205127</v>
      </c>
      <c r="D6" s="6">
        <f t="shared" si="0"/>
        <v>0.31538461538461537</v>
      </c>
      <c r="E6" s="6">
        <f t="shared" si="0"/>
        <v>0.33846153846153848</v>
      </c>
      <c r="F6" s="6">
        <f t="shared" si="0"/>
        <v>0.36923076923076925</v>
      </c>
      <c r="G6" s="6">
        <f t="shared" si="0"/>
        <v>0.47051282051282051</v>
      </c>
      <c r="H6" s="6">
        <f t="shared" si="0"/>
        <v>0.67564102564102568</v>
      </c>
      <c r="I6" s="6">
        <f>(I5+I2)/(SUM(I2:I5))</f>
        <v>0.69871794871794868</v>
      </c>
    </row>
    <row r="7" spans="1:9" ht="18" x14ac:dyDescent="0.45">
      <c r="A7" s="4" t="s">
        <v>13</v>
      </c>
      <c r="B7" s="6">
        <f>B5/(B5+B3)</f>
        <v>0.30128205128205127</v>
      </c>
      <c r="C7" s="6">
        <f t="shared" ref="C7:I7" si="1">C5/(C5+C3)</f>
        <v>0.30128205128205127</v>
      </c>
      <c r="D7" s="6">
        <f t="shared" si="1"/>
        <v>0.30457516339869278</v>
      </c>
      <c r="E7" s="6">
        <f t="shared" si="1"/>
        <v>0.31090174966352624</v>
      </c>
      <c r="F7" s="6">
        <f t="shared" si="1"/>
        <v>0.31773049645390072</v>
      </c>
      <c r="G7" s="6">
        <f t="shared" si="1"/>
        <v>0.32751937984496127</v>
      </c>
      <c r="H7" s="6">
        <f t="shared" si="1"/>
        <v>0.3783783783783784</v>
      </c>
      <c r="I7" s="6">
        <f t="shared" si="1"/>
        <v>0.5</v>
      </c>
    </row>
    <row r="8" spans="1:9" ht="18" x14ac:dyDescent="0.45">
      <c r="A8" s="4" t="s">
        <v>14</v>
      </c>
      <c r="B8" s="6">
        <f>B5/(B5+B4)</f>
        <v>1</v>
      </c>
      <c r="C8" s="6">
        <f t="shared" ref="C8:I8" si="2">C5/(C5+C4)</f>
        <v>1</v>
      </c>
      <c r="D8" s="6">
        <f t="shared" si="2"/>
        <v>0.99148936170212765</v>
      </c>
      <c r="E8" s="6">
        <f t="shared" si="2"/>
        <v>0.98297872340425529</v>
      </c>
      <c r="F8" s="6">
        <f t="shared" si="2"/>
        <v>0.95319148936170217</v>
      </c>
      <c r="G8" s="6">
        <f t="shared" si="2"/>
        <v>0.7191489361702128</v>
      </c>
      <c r="H8" s="6">
        <f t="shared" si="2"/>
        <v>0.11914893617021277</v>
      </c>
      <c r="I8" s="6">
        <f t="shared" si="2"/>
        <v>9.3617021276595741E-2</v>
      </c>
    </row>
    <row r="9" spans="1:9" ht="18" x14ac:dyDescent="0.45">
      <c r="A9" s="4" t="s">
        <v>15</v>
      </c>
      <c r="B9" s="6">
        <f>2*(B7*B8)/(B7+B8)</f>
        <v>0.46305418719211816</v>
      </c>
      <c r="C9" s="6">
        <f t="shared" ref="C9:I9" si="3">2*(C7*C8)/(C7+C8)</f>
        <v>0.46305418719211816</v>
      </c>
      <c r="D9" s="6">
        <f t="shared" si="3"/>
        <v>0.46599999999999997</v>
      </c>
      <c r="E9" s="6">
        <f t="shared" si="3"/>
        <v>0.47239263803680986</v>
      </c>
      <c r="F9" s="6">
        <f t="shared" si="3"/>
        <v>0.47659574468085114</v>
      </c>
      <c r="G9" s="6">
        <f t="shared" si="3"/>
        <v>0.45006657789613858</v>
      </c>
      <c r="H9" s="6">
        <f t="shared" si="3"/>
        <v>0.18122977346278318</v>
      </c>
      <c r="I9" s="6">
        <f t="shared" si="3"/>
        <v>0.15770609318996415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9063-8B38-4CA2-BE33-BBA6280E4668}">
  <dimension ref="A1:I9"/>
  <sheetViews>
    <sheetView tabSelected="1" zoomScale="130" zoomScaleNormal="130" workbookViewId="0">
      <selection activeCell="K6" sqref="K6"/>
    </sheetView>
  </sheetViews>
  <sheetFormatPr defaultRowHeight="17.399999999999999" x14ac:dyDescent="0.4"/>
  <cols>
    <col min="1" max="1" width="9.3984375" bestFit="1" customWidth="1"/>
    <col min="2" max="2" width="8.69921875" bestFit="1" customWidth="1"/>
    <col min="3" max="9" width="11.3984375" bestFit="1" customWidth="1"/>
  </cols>
  <sheetData>
    <row r="1" spans="1:9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8" x14ac:dyDescent="0.45">
      <c r="A2" s="3" t="s">
        <v>8</v>
      </c>
      <c r="B2" s="5">
        <v>0</v>
      </c>
      <c r="C2" s="5">
        <v>0</v>
      </c>
      <c r="D2" s="5">
        <v>0</v>
      </c>
      <c r="E2" s="5">
        <v>1</v>
      </c>
      <c r="F2" s="5">
        <v>2</v>
      </c>
      <c r="G2" s="5">
        <v>238</v>
      </c>
      <c r="H2" s="5">
        <v>326</v>
      </c>
      <c r="I2" s="5">
        <v>356</v>
      </c>
    </row>
    <row r="3" spans="1:9" ht="18" x14ac:dyDescent="0.45">
      <c r="A3" s="3" t="s">
        <v>9</v>
      </c>
      <c r="B3" s="5">
        <v>397</v>
      </c>
      <c r="C3" s="5">
        <v>397</v>
      </c>
      <c r="D3" s="5">
        <v>397</v>
      </c>
      <c r="E3" s="5">
        <v>396</v>
      </c>
      <c r="F3" s="5">
        <v>395</v>
      </c>
      <c r="G3" s="5">
        <v>159</v>
      </c>
      <c r="H3" s="5">
        <v>71</v>
      </c>
      <c r="I3" s="5">
        <v>41</v>
      </c>
    </row>
    <row r="4" spans="1:9" ht="18" x14ac:dyDescent="0.45">
      <c r="A4" s="3" t="s">
        <v>10</v>
      </c>
      <c r="B4" s="5">
        <v>0</v>
      </c>
      <c r="C4" s="5">
        <v>0</v>
      </c>
      <c r="D4" s="5">
        <v>0</v>
      </c>
      <c r="E4" s="5">
        <v>6</v>
      </c>
      <c r="F4" s="5">
        <v>6</v>
      </c>
      <c r="G4" s="5">
        <v>214</v>
      </c>
      <c r="H4" s="5">
        <v>285</v>
      </c>
      <c r="I4" s="5">
        <v>295</v>
      </c>
    </row>
    <row r="5" spans="1:9" ht="18" x14ac:dyDescent="0.45">
      <c r="A5" s="3" t="s">
        <v>11</v>
      </c>
      <c r="B5" s="5">
        <v>303</v>
      </c>
      <c r="C5" s="5">
        <v>303</v>
      </c>
      <c r="D5" s="5">
        <v>303</v>
      </c>
      <c r="E5" s="5">
        <v>297</v>
      </c>
      <c r="F5" s="5">
        <v>297</v>
      </c>
      <c r="G5" s="5">
        <v>89</v>
      </c>
      <c r="H5" s="5">
        <v>18</v>
      </c>
      <c r="I5" s="5">
        <v>8</v>
      </c>
    </row>
    <row r="6" spans="1:9" ht="18" x14ac:dyDescent="0.45">
      <c r="A6" s="4" t="s">
        <v>12</v>
      </c>
      <c r="B6" s="6">
        <f>(B5+B2)/(SUM(B2:B5))</f>
        <v>0.43285714285714288</v>
      </c>
      <c r="C6" s="6">
        <f t="shared" ref="C6:H6" si="0">(C5+C2)/(SUM(C2:C5))</f>
        <v>0.43285714285714288</v>
      </c>
      <c r="D6" s="6">
        <f t="shared" si="0"/>
        <v>0.43285714285714288</v>
      </c>
      <c r="E6" s="6">
        <f t="shared" si="0"/>
        <v>0.42571428571428571</v>
      </c>
      <c r="F6" s="6">
        <f t="shared" si="0"/>
        <v>0.42714285714285716</v>
      </c>
      <c r="G6" s="6">
        <f t="shared" si="0"/>
        <v>0.46714285714285714</v>
      </c>
      <c r="H6" s="6">
        <f t="shared" si="0"/>
        <v>0.49142857142857144</v>
      </c>
      <c r="I6" s="6">
        <f>(I5+I2)/(SUM(I2:I5))</f>
        <v>0.52</v>
      </c>
    </row>
    <row r="7" spans="1:9" ht="18" x14ac:dyDescent="0.45">
      <c r="A7" s="4" t="s">
        <v>13</v>
      </c>
      <c r="B7" s="6">
        <f>B5/(B5+B3)</f>
        <v>0.43285714285714288</v>
      </c>
      <c r="C7" s="6">
        <f t="shared" ref="C7:I7" si="1">C5/(C5+C3)</f>
        <v>0.43285714285714288</v>
      </c>
      <c r="D7" s="6">
        <f t="shared" si="1"/>
        <v>0.43285714285714288</v>
      </c>
      <c r="E7" s="6">
        <f t="shared" si="1"/>
        <v>0.42857142857142855</v>
      </c>
      <c r="F7" s="6">
        <f t="shared" si="1"/>
        <v>0.42919075144508673</v>
      </c>
      <c r="G7" s="6">
        <f t="shared" si="1"/>
        <v>0.3588709677419355</v>
      </c>
      <c r="H7" s="6">
        <f t="shared" si="1"/>
        <v>0.20224719101123595</v>
      </c>
      <c r="I7" s="6">
        <f t="shared" si="1"/>
        <v>0.16326530612244897</v>
      </c>
    </row>
    <row r="8" spans="1:9" ht="18" x14ac:dyDescent="0.45">
      <c r="A8" s="4" t="s">
        <v>14</v>
      </c>
      <c r="B8" s="6">
        <f>B5/(B5+B4)</f>
        <v>1</v>
      </c>
      <c r="C8" s="6">
        <f t="shared" ref="C8:I8" si="2">C5/(C5+C4)</f>
        <v>1</v>
      </c>
      <c r="D8" s="6">
        <f t="shared" si="2"/>
        <v>1</v>
      </c>
      <c r="E8" s="6">
        <f t="shared" si="2"/>
        <v>0.98019801980198018</v>
      </c>
      <c r="F8" s="6">
        <f t="shared" si="2"/>
        <v>0.98019801980198018</v>
      </c>
      <c r="G8" s="6">
        <f t="shared" si="2"/>
        <v>0.29372937293729373</v>
      </c>
      <c r="H8" s="6">
        <f t="shared" si="2"/>
        <v>5.9405940594059403E-2</v>
      </c>
      <c r="I8" s="6">
        <f t="shared" si="2"/>
        <v>2.6402640264026403E-2</v>
      </c>
    </row>
    <row r="9" spans="1:9" ht="18" x14ac:dyDescent="0.45">
      <c r="A9" s="4" t="s">
        <v>15</v>
      </c>
      <c r="B9" s="6">
        <f>2*(B7*B8)/(B7+B8)</f>
        <v>0.60418743768693928</v>
      </c>
      <c r="C9" s="6">
        <f t="shared" ref="C9:I9" si="3">2*(C7*C8)/(C7+C8)</f>
        <v>0.60418743768693928</v>
      </c>
      <c r="D9" s="6">
        <f t="shared" si="3"/>
        <v>0.60418743768693928</v>
      </c>
      <c r="E9" s="6">
        <f t="shared" si="3"/>
        <v>0.59638554216867468</v>
      </c>
      <c r="F9" s="6">
        <f t="shared" si="3"/>
        <v>0.59698492462311559</v>
      </c>
      <c r="G9" s="6">
        <f t="shared" si="3"/>
        <v>0.32304900181488205</v>
      </c>
      <c r="H9" s="6">
        <f t="shared" si="3"/>
        <v>9.1836734693877556E-2</v>
      </c>
      <c r="I9" s="6">
        <f t="shared" si="3"/>
        <v>4.5454545454545456E-2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부정 Alert</vt:lpstr>
      <vt:lpstr>급상승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진섭 이</cp:lastModifiedBy>
  <dcterms:created xsi:type="dcterms:W3CDTF">2026-07-30T05:31:54Z</dcterms:created>
  <dcterms:modified xsi:type="dcterms:W3CDTF">2026-07-30T06:16:55Z</dcterms:modified>
</cp:coreProperties>
</file>